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ergre\Desktop\"/>
    </mc:Choice>
  </mc:AlternateContent>
  <xr:revisionPtr revIDLastSave="0" documentId="13_ncr:1_{8CC57A74-1EB7-44BE-A057-D29E343216AD}" xr6:coauthVersionLast="45" xr6:coauthVersionMax="45" xr10:uidLastSave="{00000000-0000-0000-0000-000000000000}"/>
  <bookViews>
    <workbookView xWindow="-108" yWindow="-108" windowWidth="23256" windowHeight="12576" activeTab="4" xr2:uid="{CC80B43F-87E1-4129-A7A5-7A8160E52465}"/>
  </bookViews>
  <sheets>
    <sheet name="Формула" sheetId="1" r:id="rId1"/>
    <sheet name="Отчёт" sheetId="2" r:id="rId2"/>
    <sheet name="Радиодетали" sheetId="3" r:id="rId3"/>
    <sheet name="Чемппионат" sheetId="4" r:id="rId4"/>
    <sheet name="Учебная неделя №1" sheetId="5" r:id="rId5"/>
  </sheets>
  <definedNames>
    <definedName name="_xlnm._FilterDatabase" localSheetId="2" hidden="1">Радиодетали!$A$1:$H$16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5" l="1"/>
  <c r="F28" i="5" l="1"/>
  <c r="E34" i="5" l="1"/>
  <c r="E35" i="5"/>
  <c r="F20" i="5"/>
  <c r="F35" i="5"/>
  <c r="F34" i="5"/>
  <c r="E28" i="5"/>
  <c r="E27" i="5"/>
  <c r="E20" i="5"/>
  <c r="E6" i="5"/>
  <c r="E7" i="5" s="1"/>
  <c r="E4" i="5"/>
  <c r="E5" i="5" s="1"/>
  <c r="E1" i="5"/>
  <c r="A33" i="5"/>
  <c r="A26" i="5"/>
  <c r="A19" i="5"/>
  <c r="A11" i="5"/>
  <c r="J3" i="4" l="1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2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E13" i="2" l="1"/>
  <c r="E9" i="2"/>
  <c r="E10" i="2"/>
  <c r="E11" i="2"/>
  <c r="E12" i="2"/>
  <c r="D8" i="2"/>
  <c r="E8" i="2" s="1"/>
  <c r="D10" i="2"/>
  <c r="D11" i="2"/>
  <c r="D12" i="2"/>
  <c r="D13" i="2"/>
  <c r="D9" i="2"/>
  <c r="C2" i="1"/>
  <c r="C3" i="1"/>
  <c r="B26" i="1"/>
  <c r="C26" i="1"/>
  <c r="D14" i="2" l="1"/>
  <c r="E14" i="2"/>
  <c r="C19" i="1"/>
  <c r="C11" i="1"/>
  <c r="C25" i="1"/>
  <c r="B25" i="1"/>
  <c r="B24" i="1"/>
  <c r="B11" i="1"/>
  <c r="A12" i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C23" i="1" s="1"/>
  <c r="C24" i="1" l="1"/>
  <c r="B15" i="1"/>
  <c r="C15" i="1"/>
  <c r="B22" i="1"/>
  <c r="B18" i="1"/>
  <c r="B14" i="1"/>
  <c r="C22" i="1"/>
  <c r="C18" i="1"/>
  <c r="C14" i="1"/>
  <c r="B23" i="1"/>
  <c r="C13" i="1"/>
  <c r="B19" i="1"/>
  <c r="B21" i="1"/>
  <c r="B17" i="1"/>
  <c r="B13" i="1"/>
  <c r="C21" i="1"/>
  <c r="C17" i="1"/>
  <c r="B20" i="1"/>
  <c r="B16" i="1"/>
  <c r="B12" i="1"/>
  <c r="C20" i="1"/>
  <c r="C16" i="1"/>
  <c r="C12" i="1"/>
</calcChain>
</file>

<file path=xl/sharedStrings.xml><?xml version="1.0" encoding="utf-8"?>
<sst xmlns="http://schemas.openxmlformats.org/spreadsheetml/2006/main" count="182" uniqueCount="111">
  <si>
    <t>Минимальное значение аргумента:</t>
  </si>
  <si>
    <t>Максимальное значение аргумента:</t>
  </si>
  <si>
    <t>Шаг изменения аргумента:</t>
  </si>
  <si>
    <t>Искомое значение:</t>
  </si>
  <si>
    <t>Расчет выражения в заданом интервале</t>
  </si>
  <si>
    <t>Аргумент Х</t>
  </si>
  <si>
    <t>Значение выражения</t>
  </si>
  <si>
    <t>Максимальное значение выражения</t>
  </si>
  <si>
    <t>Минимальное значение выражения</t>
  </si>
  <si>
    <t>Количество искомых значений</t>
  </si>
  <si>
    <t>при А = 100</t>
  </si>
  <si>
    <t>при А = 120</t>
  </si>
  <si>
    <t>Минимальное время</t>
  </si>
  <si>
    <t>Округление</t>
  </si>
  <si>
    <t>мин</t>
  </si>
  <si>
    <t>Расчёт стоимости услуг сотовой связи</t>
  </si>
  <si>
    <t>Телефон</t>
  </si>
  <si>
    <t>Тариф, руб/мин</t>
  </si>
  <si>
    <t>Время по факту</t>
  </si>
  <si>
    <t>Количество минут</t>
  </si>
  <si>
    <t>Сумма к оплате</t>
  </si>
  <si>
    <t>Итого:</t>
  </si>
  <si>
    <t>41-41-41</t>
  </si>
  <si>
    <t>14-99-00</t>
  </si>
  <si>
    <t>99-98-96</t>
  </si>
  <si>
    <t>44-11-41</t>
  </si>
  <si>
    <t>56-08-08</t>
  </si>
  <si>
    <t>11-41-96</t>
  </si>
  <si>
    <t>Номер</t>
  </si>
  <si>
    <t>Тип радиодетали</t>
  </si>
  <si>
    <t>Характеристика</t>
  </si>
  <si>
    <t>Страна - производитель</t>
  </si>
  <si>
    <t>Завод - изготовитель</t>
  </si>
  <si>
    <t>Дата изготовления</t>
  </si>
  <si>
    <t>Поставщик</t>
  </si>
  <si>
    <t>Цена</t>
  </si>
  <si>
    <t>Конденсатор</t>
  </si>
  <si>
    <t>Транзистор</t>
  </si>
  <si>
    <t>Герамания</t>
  </si>
  <si>
    <t>Япония</t>
  </si>
  <si>
    <t>Россия</t>
  </si>
  <si>
    <t>Урад</t>
  </si>
  <si>
    <t>Урал</t>
  </si>
  <si>
    <t>Лада</t>
  </si>
  <si>
    <t>Митсубиши</t>
  </si>
  <si>
    <t>Тайота</t>
  </si>
  <si>
    <t>Мерседес</t>
  </si>
  <si>
    <t>БМВ</t>
  </si>
  <si>
    <t>Лексус</t>
  </si>
  <si>
    <t>Ауди</t>
  </si>
  <si>
    <t>Плоский</t>
  </si>
  <si>
    <t>Цилиндрический</t>
  </si>
  <si>
    <t>Сферический</t>
  </si>
  <si>
    <t>Резистор</t>
  </si>
  <si>
    <t>Варристор</t>
  </si>
  <si>
    <t>Терморезистор</t>
  </si>
  <si>
    <t>Магниторезистор</t>
  </si>
  <si>
    <t>Фоторезистор</t>
  </si>
  <si>
    <t>Германиевый</t>
  </si>
  <si>
    <t>Кремниевый</t>
  </si>
  <si>
    <t>Арсенид-галиевый</t>
  </si>
  <si>
    <t>Поставщики - груп</t>
  </si>
  <si>
    <t>Поставкинцы</t>
  </si>
  <si>
    <t>Поставщайцы</t>
  </si>
  <si>
    <t>Тензорезистор</t>
  </si>
  <si>
    <t>Место</t>
  </si>
  <si>
    <t>Клуб</t>
  </si>
  <si>
    <t>Игр</t>
  </si>
  <si>
    <t>Выигрыш</t>
  </si>
  <si>
    <t>Ничья</t>
  </si>
  <si>
    <t>Поражения</t>
  </si>
  <si>
    <t>Забитые мячи</t>
  </si>
  <si>
    <t>Пропущенные мячи</t>
  </si>
  <si>
    <t xml:space="preserve">Разница </t>
  </si>
  <si>
    <t>Очки</t>
  </si>
  <si>
    <t>ЦСКА</t>
  </si>
  <si>
    <t>Динамо</t>
  </si>
  <si>
    <t>Амкар</t>
  </si>
  <si>
    <t>Зенит</t>
  </si>
  <si>
    <t>Крылья Советов</t>
  </si>
  <si>
    <t>Локомотив</t>
  </si>
  <si>
    <t>Спартак</t>
  </si>
  <si>
    <t>Москва</t>
  </si>
  <si>
    <t>Терек</t>
  </si>
  <si>
    <t>Сатурн</t>
  </si>
  <si>
    <t>Спартак-Нальчик</t>
  </si>
  <si>
    <t>Томь</t>
  </si>
  <si>
    <t>Химки</t>
  </si>
  <si>
    <t>Шинник</t>
  </si>
  <si>
    <t>Луч-Энергия</t>
  </si>
  <si>
    <t xml:space="preserve"> </t>
  </si>
  <si>
    <t>Семестр</t>
  </si>
  <si>
    <t>Неделя</t>
  </si>
  <si>
    <t>Дата</t>
  </si>
  <si>
    <t>День недели</t>
  </si>
  <si>
    <t>Начало пары</t>
  </si>
  <si>
    <t>Конец пары</t>
  </si>
  <si>
    <t>Дисциплина</t>
  </si>
  <si>
    <t>Ауд.</t>
  </si>
  <si>
    <t>Понедельник</t>
  </si>
  <si>
    <t>Вторник</t>
  </si>
  <si>
    <t>Математика (прак)</t>
  </si>
  <si>
    <t>Физика (лек)</t>
  </si>
  <si>
    <t>Среда</t>
  </si>
  <si>
    <t>Четверг</t>
  </si>
  <si>
    <t>Пятница</t>
  </si>
  <si>
    <t>Иностранный язык (прак)</t>
  </si>
  <si>
    <t>Физика (прак)</t>
  </si>
  <si>
    <t>Математика (лек)</t>
  </si>
  <si>
    <t>Рубин</t>
  </si>
  <si>
    <t xml:space="preserve">   Акт. зал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</si>
</sst>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"/>
    <numFmt numFmtId="165" formatCode="h:mm:ss;@"/>
    <numFmt numFmtId="166" formatCode="0;\-0;;@"/>
    <numFmt numFmtId="167" formatCode="h:mm;@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gray0625">
        <fgColor theme="1"/>
        <bgColor auto="1"/>
      </patternFill>
    </fill>
  </fills>
  <borders count="2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2" xfId="0" applyBorder="1"/>
    <xf numFmtId="0" fontId="0" fillId="0" borderId="2" xfId="0" applyBorder="1" applyAlignment="1">
      <alignment wrapText="1"/>
    </xf>
    <xf numFmtId="2" fontId="0" fillId="0" borderId="3" xfId="0" applyNumberFormat="1" applyBorder="1"/>
    <xf numFmtId="2" fontId="0" fillId="0" borderId="10" xfId="0" applyNumberFormat="1" applyBorder="1"/>
    <xf numFmtId="2" fontId="0" fillId="0" borderId="11" xfId="0" applyNumberFormat="1" applyBorder="1"/>
    <xf numFmtId="2" fontId="0" fillId="0" borderId="6" xfId="0" applyNumberFormat="1" applyBorder="1"/>
    <xf numFmtId="2" fontId="0" fillId="0" borderId="2" xfId="0" applyNumberFormat="1" applyBorder="1"/>
    <xf numFmtId="2" fontId="0" fillId="0" borderId="0" xfId="0" applyNumberFormat="1"/>
    <xf numFmtId="164" fontId="0" fillId="0" borderId="0" xfId="0" applyNumberFormat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1" fillId="0" borderId="7" xfId="0" applyFont="1" applyBorder="1" applyAlignment="1">
      <alignment wrapText="1"/>
    </xf>
    <xf numFmtId="0" fontId="1" fillId="0" borderId="12" xfId="0" applyFont="1" applyBorder="1" applyAlignment="1">
      <alignment horizontal="centerContinuous" vertical="center" wrapText="1" shrinkToFit="1"/>
    </xf>
    <xf numFmtId="0" fontId="0" fillId="0" borderId="14" xfId="0" applyBorder="1" applyAlignment="1">
      <alignment wrapText="1"/>
    </xf>
    <xf numFmtId="2" fontId="0" fillId="0" borderId="3" xfId="0" applyNumberFormat="1" applyBorder="1" applyAlignment="1">
      <alignment wrapText="1"/>
    </xf>
    <xf numFmtId="165" fontId="0" fillId="0" borderId="13" xfId="0" applyNumberFormat="1" applyBorder="1" applyAlignment="1">
      <alignment wrapText="1"/>
    </xf>
    <xf numFmtId="2" fontId="0" fillId="0" borderId="11" xfId="0" applyNumberFormat="1" applyBorder="1" applyAlignment="1">
      <alignment wrapText="1"/>
    </xf>
    <xf numFmtId="165" fontId="0" fillId="0" borderId="14" xfId="0" applyNumberFormat="1" applyBorder="1" applyAlignment="1">
      <alignment wrapText="1"/>
    </xf>
    <xf numFmtId="0" fontId="0" fillId="0" borderId="15" xfId="0" applyBorder="1" applyAlignment="1">
      <alignment wrapText="1"/>
    </xf>
    <xf numFmtId="2" fontId="0" fillId="0" borderId="6" xfId="0" applyNumberFormat="1" applyBorder="1" applyAlignment="1">
      <alignment wrapText="1"/>
    </xf>
    <xf numFmtId="165" fontId="0" fillId="0" borderId="15" xfId="0" applyNumberFormat="1" applyBorder="1" applyAlignment="1">
      <alignment wrapText="1"/>
    </xf>
    <xf numFmtId="166" fontId="0" fillId="0" borderId="0" xfId="0" applyNumberFormat="1"/>
    <xf numFmtId="166" fontId="0" fillId="2" borderId="3" xfId="0" applyNumberFormat="1" applyFill="1" applyBorder="1"/>
    <xf numFmtId="166" fontId="0" fillId="2" borderId="10" xfId="0" applyNumberFormat="1" applyFill="1" applyBorder="1"/>
    <xf numFmtId="166" fontId="0" fillId="2" borderId="11" xfId="0" applyNumberFormat="1" applyFill="1" applyBorder="1"/>
    <xf numFmtId="166" fontId="0" fillId="2" borderId="6" xfId="0" applyNumberFormat="1" applyFill="1" applyBorder="1"/>
    <xf numFmtId="166" fontId="0" fillId="2" borderId="9" xfId="0" applyNumberFormat="1" applyFill="1" applyBorder="1"/>
    <xf numFmtId="14" fontId="0" fillId="0" borderId="4" xfId="0" applyNumberFormat="1" applyBorder="1"/>
    <xf numFmtId="14" fontId="0" fillId="0" borderId="5" xfId="0" applyNumberFormat="1" applyBorder="1"/>
    <xf numFmtId="0" fontId="0" fillId="0" borderId="4" xfId="0" applyFill="1" applyBorder="1"/>
    <xf numFmtId="0" fontId="0" fillId="0" borderId="16" xfId="0" applyBorder="1"/>
    <xf numFmtId="14" fontId="0" fillId="0" borderId="16" xfId="0" applyNumberFormat="1" applyBorder="1"/>
    <xf numFmtId="0" fontId="0" fillId="0" borderId="16" xfId="0" applyFill="1" applyBorder="1"/>
    <xf numFmtId="0" fontId="0" fillId="0" borderId="0" xfId="0" applyBorder="1"/>
    <xf numFmtId="0" fontId="0" fillId="0" borderId="17" xfId="0" applyBorder="1" applyAlignment="1">
      <alignment shrinkToFit="1"/>
    </xf>
    <xf numFmtId="0" fontId="0" fillId="0" borderId="17" xfId="0" applyBorder="1"/>
    <xf numFmtId="167" fontId="0" fillId="0" borderId="17" xfId="0" applyNumberFormat="1" applyBorder="1"/>
    <xf numFmtId="0" fontId="0" fillId="0" borderId="0" xfId="0" applyBorder="1" applyAlignment="1">
      <alignment textRotation="90"/>
    </xf>
    <xf numFmtId="20" fontId="0" fillId="0" borderId="17" xfId="0" applyNumberFormat="1" applyBorder="1"/>
    <xf numFmtId="20" fontId="0" fillId="0" borderId="0" xfId="0" applyNumberFormat="1" applyBorder="1"/>
    <xf numFmtId="0" fontId="0" fillId="0" borderId="17" xfId="0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14" fontId="0" fillId="0" borderId="0" xfId="0" applyNumberFormat="1" applyBorder="1" applyAlignment="1">
      <alignment textRotation="90" shrinkToFit="1"/>
    </xf>
    <xf numFmtId="0" fontId="0" fillId="0" borderId="17" xfId="0" applyNumberFormat="1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8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7" xfId="0" applyBorder="1" applyAlignment="1">
      <alignment horizontal="center"/>
    </xf>
    <xf numFmtId="14" fontId="0" fillId="0" borderId="17" xfId="0" applyNumberFormat="1" applyBorder="1" applyAlignment="1">
      <alignment horizontal="center" textRotation="90" shrinkToFit="1"/>
    </xf>
    <xf numFmtId="0" fontId="0" fillId="0" borderId="17" xfId="0" applyBorder="1" applyAlignment="1">
      <alignment horizontal="center" textRotation="90"/>
    </xf>
    <xf numFmtId="14" fontId="0" fillId="0" borderId="18" xfId="0" applyNumberFormat="1" applyBorder="1" applyAlignment="1">
      <alignment horizontal="center" textRotation="90"/>
    </xf>
    <xf numFmtId="14" fontId="0" fillId="0" borderId="19" xfId="0" applyNumberFormat="1" applyBorder="1" applyAlignment="1">
      <alignment horizontal="center" textRotation="90"/>
    </xf>
    <xf numFmtId="14" fontId="0" fillId="0" borderId="20" xfId="0" applyNumberFormat="1" applyBorder="1" applyAlignment="1">
      <alignment horizontal="center" textRotation="90"/>
    </xf>
    <xf numFmtId="0" fontId="0" fillId="0" borderId="18" xfId="0" applyBorder="1" applyAlignment="1">
      <alignment horizontal="center" textRotation="90" shrinkToFit="1"/>
    </xf>
    <xf numFmtId="0" fontId="0" fillId="0" borderId="19" xfId="0" applyBorder="1" applyAlignment="1">
      <alignment horizontal="center" textRotation="90" shrinkToFit="1"/>
    </xf>
    <xf numFmtId="0" fontId="0" fillId="0" borderId="20" xfId="0" applyBorder="1" applyAlignment="1">
      <alignment horizontal="center" textRotation="90" shrinkToFit="1"/>
    </xf>
  </cellXfs>
  <cellStyles count="1">
    <cellStyle name="Обычный" xfId="0" builtinId="0"/>
  </cellStyles>
  <dxfs count="9">
    <dxf>
      <fill>
        <patternFill>
          <bgColor rgb="FF1FF50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strike val="0"/>
        <color theme="0"/>
      </font>
    </dxf>
    <dxf>
      <font>
        <color theme="0"/>
      </font>
      <fill>
        <patternFill patternType="gray125"/>
      </fill>
    </dxf>
    <dxf>
      <font>
        <strike val="0"/>
      </font>
    </dxf>
    <dxf>
      <font>
        <color auto="1"/>
      </font>
    </dxf>
    <dxf>
      <fill>
        <patternFill patternType="gray0625"/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1FF50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10</xdr:col>
          <xdr:colOff>601980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расписание следующей недели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Текстура гранж">
      <a: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67000"/>
                <a:shade val="65000"/>
              </a:schemeClr>
              <a:schemeClr val="phClr">
                <a:tint val="10000"/>
                <a:satMod val="130000"/>
              </a:schemeClr>
            </a:duotone>
          </a:blip>
          <a:tile tx="0" ty="0" sx="60000" sy="59000" flip="none" algn="b"/>
        </a:blipFill>
        <a:blipFill rotWithShape="1">
          <a:blip xmlns:r="http://schemas.openxmlformats.org/officeDocument/2006/relationships" r:embed="rId1">
            <a:duotone>
              <a:schemeClr val="phClr">
                <a:shade val="30000"/>
                <a:satMod val="115000"/>
              </a:schemeClr>
              <a:schemeClr val="phClr">
                <a:tint val="34000"/>
              </a:schemeClr>
            </a:duotone>
          </a:blip>
          <a:tile tx="0" ty="0" sx="60000" sy="59000" flip="none" algn="b"/>
        </a:blipFill>
      </a:fillStyleLst>
      <a:lnStyleLst>
        <a:ln w="6350" cap="flat" cmpd="sng" algn="ctr">
          <a:solidFill>
            <a:schemeClr val="phClr">
              <a:tint val="70000"/>
            </a:schemeClr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softEdge rad="12700"/>
          </a:effectLst>
        </a:effectStyle>
        <a:effectStyle>
          <a:effectLst>
            <a:outerShdw blurRad="50800" dist="19050" dir="5400000" algn="tl" rotWithShape="0">
              <a:srgbClr val="000000">
                <a:alpha val="60000"/>
              </a:srgbClr>
            </a:outerShdw>
            <a:softEdge rad="12700"/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EE66A-60F0-4896-967F-3F2F0CFB6CF5}">
  <sheetPr codeName="Лист1"/>
  <dimension ref="A1:K84"/>
  <sheetViews>
    <sheetView topLeftCell="A7" zoomScale="115" zoomScaleNormal="115" workbookViewId="0">
      <selection activeCell="D10" sqref="D10"/>
    </sheetView>
  </sheetViews>
  <sheetFormatPr defaultRowHeight="14.4" x14ac:dyDescent="0.3"/>
  <cols>
    <col min="1" max="1" width="16.21875" customWidth="1"/>
    <col min="2" max="2" width="18" customWidth="1"/>
    <col min="3" max="3" width="17.6640625" customWidth="1"/>
  </cols>
  <sheetData>
    <row r="1" spans="1:11" ht="15" thickBot="1" x14ac:dyDescent="0.35">
      <c r="C1" s="1"/>
      <c r="G1" s="12"/>
    </row>
    <row r="2" spans="1:11" ht="15" thickBot="1" x14ac:dyDescent="0.35">
      <c r="A2" s="50" t="s">
        <v>0</v>
      </c>
      <c r="B2" s="50"/>
      <c r="C2" s="2">
        <f>MIN(A11:A23)</f>
        <v>-90</v>
      </c>
      <c r="G2" s="12"/>
    </row>
    <row r="3" spans="1:11" ht="15" thickBot="1" x14ac:dyDescent="0.35">
      <c r="A3" s="50" t="s">
        <v>1</v>
      </c>
      <c r="B3" s="50"/>
      <c r="C3" s="2">
        <f>MAX(A11:A23)</f>
        <v>90</v>
      </c>
      <c r="G3" s="12"/>
    </row>
    <row r="4" spans="1:11" ht="15" thickBot="1" x14ac:dyDescent="0.35">
      <c r="A4" s="50" t="s">
        <v>2</v>
      </c>
      <c r="B4" s="50"/>
      <c r="C4" s="5">
        <v>15</v>
      </c>
      <c r="G4" s="12"/>
    </row>
    <row r="5" spans="1:11" ht="15" thickBot="1" x14ac:dyDescent="0.35">
      <c r="B5" t="s">
        <v>3</v>
      </c>
      <c r="C5" s="10">
        <v>-0.77</v>
      </c>
      <c r="G5" s="12"/>
    </row>
    <row r="6" spans="1:11" x14ac:dyDescent="0.3">
      <c r="G6" s="12"/>
    </row>
    <row r="7" spans="1:11" x14ac:dyDescent="0.3">
      <c r="A7" s="51" t="s">
        <v>4</v>
      </c>
      <c r="B7" s="50"/>
      <c r="C7" s="50"/>
      <c r="G7" s="12"/>
    </row>
    <row r="8" spans="1:11" ht="15" thickBot="1" x14ac:dyDescent="0.35">
      <c r="G8" s="12"/>
      <c r="K8" s="13"/>
    </row>
    <row r="9" spans="1:11" ht="15" thickBot="1" x14ac:dyDescent="0.35">
      <c r="A9" s="52" t="s">
        <v>5</v>
      </c>
      <c r="B9" s="54" t="s">
        <v>6</v>
      </c>
      <c r="C9" s="54"/>
      <c r="G9" s="12"/>
    </row>
    <row r="10" spans="1:11" ht="15" thickBot="1" x14ac:dyDescent="0.35">
      <c r="A10" s="53"/>
      <c r="B10" s="2" t="s">
        <v>10</v>
      </c>
      <c r="C10" s="5" t="s">
        <v>11</v>
      </c>
    </row>
    <row r="11" spans="1:11" x14ac:dyDescent="0.3">
      <c r="A11">
        <v>-90</v>
      </c>
      <c r="B11" s="7">
        <f>(SIN(100*A11)/COS(100*A11))-SQRT(ABS(A11/100))</f>
        <v>-0.16783654450425323</v>
      </c>
      <c r="C11" s="8">
        <f>(SIN(120*A11)/COS(120*A11))-SQRT(ABS(A11/120))</f>
        <v>0.15447300997939628</v>
      </c>
    </row>
    <row r="12" spans="1:11" x14ac:dyDescent="0.3">
      <c r="A12">
        <f>A11+$C$4</f>
        <v>-75</v>
      </c>
      <c r="B12" s="9">
        <f t="shared" ref="B12:B23" si="0">(SIN(100*A12)/COS(100*A12))-SQRT(ABS(A12/100))</f>
        <v>-2.4880968471644405</v>
      </c>
      <c r="C12" s="8">
        <f t="shared" ref="C12:C23" si="1">(SIN(120*A12)/COS(120*A12))-SQRT(ABS(A12/120))</f>
        <v>-9.7226614958343394E-3</v>
      </c>
    </row>
    <row r="13" spans="1:11" x14ac:dyDescent="0.3">
      <c r="A13">
        <f t="shared" ref="A13:A23" si="2">A12+$C$4</f>
        <v>-60</v>
      </c>
      <c r="B13" s="9">
        <f t="shared" si="0"/>
        <v>-0.30140929668800204</v>
      </c>
      <c r="C13" s="8">
        <f t="shared" si="1"/>
        <v>-0.12070335389156273</v>
      </c>
      <c r="I13" s="12"/>
    </row>
    <row r="14" spans="1:11" x14ac:dyDescent="0.3">
      <c r="A14">
        <f t="shared" si="2"/>
        <v>-45</v>
      </c>
      <c r="B14" s="9">
        <f t="shared" si="0"/>
        <v>-3.5763176047435601</v>
      </c>
      <c r="C14" s="8">
        <f t="shared" si="1"/>
        <v>-0.19220357760878637</v>
      </c>
      <c r="I14" s="12"/>
    </row>
    <row r="15" spans="1:11" x14ac:dyDescent="0.3">
      <c r="A15">
        <f t="shared" si="2"/>
        <v>-30</v>
      </c>
      <c r="B15" s="9">
        <f t="shared" si="0"/>
        <v>-0.32306951545060714</v>
      </c>
      <c r="C15" s="8">
        <f t="shared" si="1"/>
        <v>-0.22842309071747291</v>
      </c>
      <c r="I15" s="12"/>
    </row>
    <row r="16" spans="1:11" x14ac:dyDescent="0.3">
      <c r="A16">
        <f t="shared" si="2"/>
        <v>-15</v>
      </c>
      <c r="B16" s="9">
        <f t="shared" si="0"/>
        <v>-9.4008593168240253</v>
      </c>
      <c r="C16" s="8">
        <f t="shared" si="1"/>
        <v>-0.22018038951617758</v>
      </c>
      <c r="I16" s="12"/>
    </row>
    <row r="17" spans="1:9" x14ac:dyDescent="0.3">
      <c r="A17">
        <f t="shared" si="2"/>
        <v>0</v>
      </c>
      <c r="B17" s="9">
        <f t="shared" si="0"/>
        <v>0</v>
      </c>
      <c r="C17" s="8">
        <f t="shared" si="1"/>
        <v>0</v>
      </c>
      <c r="I17" s="12"/>
    </row>
    <row r="18" spans="1:9" x14ac:dyDescent="0.3">
      <c r="A18">
        <f t="shared" si="2"/>
        <v>15</v>
      </c>
      <c r="B18" s="9">
        <f t="shared" si="0"/>
        <v>8.6262626475825428</v>
      </c>
      <c r="C18" s="8">
        <f t="shared" si="1"/>
        <v>-0.48692639167037</v>
      </c>
      <c r="I18" s="12"/>
    </row>
    <row r="19" spans="1:9" x14ac:dyDescent="0.3">
      <c r="A19">
        <f t="shared" si="2"/>
        <v>30</v>
      </c>
      <c r="B19" s="9">
        <f t="shared" si="0"/>
        <v>-0.77237559955972501</v>
      </c>
      <c r="C19" s="8">
        <f>(SIN(120*A19)/COS(120*A19))-SQRT(ABS(A19/120))</f>
        <v>-0.77157690928252709</v>
      </c>
    </row>
    <row r="20" spans="1:9" x14ac:dyDescent="0.3">
      <c r="A20">
        <f t="shared" si="2"/>
        <v>45</v>
      </c>
      <c r="B20" s="9">
        <f t="shared" si="0"/>
        <v>2.234676818243686</v>
      </c>
      <c r="C20" s="8">
        <f t="shared" si="1"/>
        <v>-1.0325412937828027</v>
      </c>
    </row>
    <row r="21" spans="1:9" x14ac:dyDescent="0.3">
      <c r="A21">
        <f t="shared" si="2"/>
        <v>60</v>
      </c>
      <c r="B21" s="9">
        <f t="shared" si="0"/>
        <v>-1.2477840417949648</v>
      </c>
      <c r="C21" s="8">
        <f t="shared" si="1"/>
        <v>-1.2935102084815324</v>
      </c>
    </row>
    <row r="22" spans="1:9" ht="14.4" customHeight="1" x14ac:dyDescent="0.3">
      <c r="A22">
        <f t="shared" si="2"/>
        <v>75</v>
      </c>
      <c r="B22" s="9">
        <f t="shared" si="0"/>
        <v>0.75604603959556327</v>
      </c>
      <c r="C22" s="8">
        <f t="shared" si="1"/>
        <v>-1.5714161685883554</v>
      </c>
    </row>
    <row r="23" spans="1:9" ht="14.4" customHeight="1" thickBot="1" x14ac:dyDescent="0.35">
      <c r="A23">
        <f t="shared" si="2"/>
        <v>90</v>
      </c>
      <c r="B23" s="10">
        <f t="shared" si="0"/>
        <v>-1.7295300515967744</v>
      </c>
      <c r="C23" s="8">
        <f t="shared" si="1"/>
        <v>-1.8865238175482735</v>
      </c>
    </row>
    <row r="24" spans="1:9" ht="43.8" customHeight="1" thickBot="1" x14ac:dyDescent="0.35">
      <c r="A24" s="6" t="s">
        <v>7</v>
      </c>
      <c r="B24" s="10">
        <f>MAX(B11:B23)</f>
        <v>8.6262626475825428</v>
      </c>
      <c r="C24" s="11">
        <f>MAX(C11:C23)</f>
        <v>0.15447300997939628</v>
      </c>
    </row>
    <row r="25" spans="1:9" ht="43.8" thickBot="1" x14ac:dyDescent="0.35">
      <c r="A25" s="6" t="s">
        <v>8</v>
      </c>
      <c r="B25" s="11">
        <f>MIN(B11:B23)</f>
        <v>-9.4008593168240253</v>
      </c>
      <c r="C25" s="11">
        <f>MIN(C11:C23)</f>
        <v>-1.8865238175482735</v>
      </c>
    </row>
    <row r="26" spans="1:9" ht="43.8" thickBot="1" x14ac:dyDescent="0.35">
      <c r="A26" s="6" t="s">
        <v>9</v>
      </c>
      <c r="B26" s="11">
        <f>COUNT(B11:B23)-COUNTIF(B11:B23,"&lt;"&amp;C5-0.005)-COUNTIF(B11:B23,"&gt;"&amp;C5+0.004)</f>
        <v>1</v>
      </c>
      <c r="C26" s="11">
        <f>COUNT(C11:C23)-COUNTIF(C11:C23,"&lt;"&amp;C5-0.005)-COUNTIF(C11:C23,"&gt;"&amp;C5+0.004)</f>
        <v>1</v>
      </c>
    </row>
    <row r="27" spans="1:9" x14ac:dyDescent="0.3">
      <c r="C27" s="12"/>
    </row>
    <row r="28" spans="1:9" x14ac:dyDescent="0.3">
      <c r="C28" s="12"/>
    </row>
    <row r="71" spans="1:1" x14ac:dyDescent="0.3">
      <c r="A71" s="12"/>
    </row>
    <row r="72" spans="1:1" x14ac:dyDescent="0.3">
      <c r="A72" s="12"/>
    </row>
    <row r="73" spans="1:1" x14ac:dyDescent="0.3">
      <c r="A73" s="12"/>
    </row>
    <row r="74" spans="1:1" x14ac:dyDescent="0.3">
      <c r="A74" s="12"/>
    </row>
    <row r="75" spans="1:1" x14ac:dyDescent="0.3">
      <c r="A75" s="12"/>
    </row>
    <row r="76" spans="1:1" x14ac:dyDescent="0.3">
      <c r="A76" s="12"/>
    </row>
    <row r="77" spans="1:1" x14ac:dyDescent="0.3">
      <c r="A77" s="12"/>
    </row>
    <row r="78" spans="1:1" x14ac:dyDescent="0.3">
      <c r="A78" s="12"/>
    </row>
    <row r="79" spans="1:1" x14ac:dyDescent="0.3">
      <c r="A79" s="12"/>
    </row>
    <row r="80" spans="1:1" x14ac:dyDescent="0.3">
      <c r="A80" s="12"/>
    </row>
    <row r="81" spans="1:1" x14ac:dyDescent="0.3">
      <c r="A81" s="12"/>
    </row>
    <row r="82" spans="1:1" x14ac:dyDescent="0.3">
      <c r="A82" s="12"/>
    </row>
    <row r="83" spans="1:1" x14ac:dyDescent="0.3">
      <c r="A83" s="12"/>
    </row>
    <row r="84" spans="1:1" x14ac:dyDescent="0.3">
      <c r="A84" s="12"/>
    </row>
  </sheetData>
  <mergeCells count="6">
    <mergeCell ref="A2:B2"/>
    <mergeCell ref="A3:B3"/>
    <mergeCell ref="A4:B4"/>
    <mergeCell ref="A7:C7"/>
    <mergeCell ref="A9:A10"/>
    <mergeCell ref="B9:C9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9337D-E009-47CE-AAE9-28954B6CE5E2}">
  <sheetPr codeName="Лист2"/>
  <dimension ref="A2:G14"/>
  <sheetViews>
    <sheetView showRuler="0" showWhiteSpace="0" view="pageLayout" zoomScale="160" zoomScaleNormal="100" zoomScalePageLayoutView="160" workbookViewId="0">
      <selection activeCell="C3" sqref="C3"/>
    </sheetView>
  </sheetViews>
  <sheetFormatPr defaultRowHeight="14.4" x14ac:dyDescent="0.3"/>
  <cols>
    <col min="1" max="2" width="11.21875" customWidth="1"/>
    <col min="3" max="3" width="13.6640625" customWidth="1"/>
    <col min="4" max="4" width="16" customWidth="1"/>
    <col min="5" max="5" width="13.5546875" customWidth="1"/>
  </cols>
  <sheetData>
    <row r="2" spans="1:7" x14ac:dyDescent="0.3">
      <c r="A2" s="50" t="s">
        <v>12</v>
      </c>
      <c r="B2" s="50"/>
      <c r="C2">
        <v>20</v>
      </c>
      <c r="D2" t="s">
        <v>14</v>
      </c>
    </row>
    <row r="3" spans="1:7" x14ac:dyDescent="0.3">
      <c r="B3" t="s">
        <v>13</v>
      </c>
      <c r="C3">
        <v>1</v>
      </c>
      <c r="D3" t="s">
        <v>14</v>
      </c>
    </row>
    <row r="5" spans="1:7" x14ac:dyDescent="0.3">
      <c r="A5" s="50" t="s">
        <v>15</v>
      </c>
      <c r="B5" s="50"/>
      <c r="C5" s="50"/>
      <c r="D5" s="50"/>
      <c r="E5" s="50"/>
    </row>
    <row r="6" spans="1:7" ht="15" thickBot="1" x14ac:dyDescent="0.35"/>
    <row r="7" spans="1:7" ht="29.4" thickBot="1" x14ac:dyDescent="0.35">
      <c r="A7" s="18" t="s">
        <v>16</v>
      </c>
      <c r="B7" s="17" t="s">
        <v>17</v>
      </c>
      <c r="C7" s="14" t="s">
        <v>18</v>
      </c>
      <c r="D7" s="16" t="s">
        <v>19</v>
      </c>
      <c r="E7" s="15" t="s">
        <v>20</v>
      </c>
    </row>
    <row r="8" spans="1:7" x14ac:dyDescent="0.3">
      <c r="A8" s="19" t="s">
        <v>22</v>
      </c>
      <c r="B8" s="20">
        <v>2.8</v>
      </c>
      <c r="C8" s="21">
        <v>1.1805555555555555E-2</v>
      </c>
      <c r="D8" s="28">
        <f>(HOUR(C8)*60)+MINUTE(C8)+IF(SECOND(C8)&gt;0,1,0)*$C$3</f>
        <v>17</v>
      </c>
      <c r="E8" s="29">
        <f>IF(D8&lt;$C$2,$C$2,D8)*B8</f>
        <v>56</v>
      </c>
      <c r="G8" s="27"/>
    </row>
    <row r="9" spans="1:7" x14ac:dyDescent="0.3">
      <c r="A9" s="19" t="s">
        <v>23</v>
      </c>
      <c r="B9" s="22">
        <v>1.6</v>
      </c>
      <c r="C9" s="23">
        <v>2.0833333333333333E-3</v>
      </c>
      <c r="D9" s="30">
        <f>(HOUR(C9)*60)+MINUTE(C9)+IF(SECOND(C9)&gt;0,1,0)*$C$3</f>
        <v>3</v>
      </c>
      <c r="E9" s="29">
        <f t="shared" ref="E9:E12" si="0">IF(D9&lt;$C$2,$C$2,D9)*B9</f>
        <v>32</v>
      </c>
      <c r="G9" s="27">
        <v>0</v>
      </c>
    </row>
    <row r="10" spans="1:7" x14ac:dyDescent="0.3">
      <c r="A10" s="19" t="s">
        <v>24</v>
      </c>
      <c r="B10" s="22">
        <v>2</v>
      </c>
      <c r="C10" s="23">
        <v>4.3738425925925924E-2</v>
      </c>
      <c r="D10" s="30">
        <f t="shared" ref="D10:D13" si="1">(HOUR(C10)*60)+MINUTE(C10)+IF(SECOND(C10)&gt;0,1,0)*$C$3</f>
        <v>63</v>
      </c>
      <c r="E10" s="29">
        <f t="shared" si="0"/>
        <v>126</v>
      </c>
      <c r="G10" s="27">
        <v>0</v>
      </c>
    </row>
    <row r="11" spans="1:7" x14ac:dyDescent="0.3">
      <c r="A11" s="19" t="s">
        <v>25</v>
      </c>
      <c r="B11" s="22">
        <v>1</v>
      </c>
      <c r="C11" s="23">
        <v>5.5555555555555558E-3</v>
      </c>
      <c r="D11" s="30">
        <f t="shared" si="1"/>
        <v>8</v>
      </c>
      <c r="E11" s="29">
        <f t="shared" si="0"/>
        <v>20</v>
      </c>
    </row>
    <row r="12" spans="1:7" x14ac:dyDescent="0.3">
      <c r="A12" s="19" t="s">
        <v>26</v>
      </c>
      <c r="B12" s="22">
        <v>2.2000000000000002</v>
      </c>
      <c r="C12" s="23">
        <v>8.6817129629629633E-2</v>
      </c>
      <c r="D12" s="30">
        <f t="shared" si="1"/>
        <v>126</v>
      </c>
      <c r="E12" s="29">
        <f t="shared" si="0"/>
        <v>277.20000000000005</v>
      </c>
    </row>
    <row r="13" spans="1:7" ht="15" thickBot="1" x14ac:dyDescent="0.35">
      <c r="A13" s="24" t="s">
        <v>27</v>
      </c>
      <c r="B13" s="25">
        <v>2.4</v>
      </c>
      <c r="C13" s="26">
        <v>3.858796296296297E-2</v>
      </c>
      <c r="D13" s="31">
        <f t="shared" si="1"/>
        <v>56</v>
      </c>
      <c r="E13" s="29">
        <f>IF(D13&lt;$C$2,$C$2,D13)*B13</f>
        <v>134.4</v>
      </c>
    </row>
    <row r="14" spans="1:7" ht="15" thickBot="1" x14ac:dyDescent="0.35">
      <c r="A14" s="55" t="s">
        <v>21</v>
      </c>
      <c r="B14" s="56"/>
      <c r="C14" s="56"/>
      <c r="D14" s="31">
        <f>SUM(D8:D13)</f>
        <v>273</v>
      </c>
      <c r="E14" s="32">
        <f>SUM(E8:E13)</f>
        <v>645.6</v>
      </c>
    </row>
  </sheetData>
  <mergeCells count="3">
    <mergeCell ref="A5:E5"/>
    <mergeCell ref="A14:C14"/>
    <mergeCell ref="A2:B2"/>
  </mergeCells>
  <conditionalFormatting sqref="D8:E13">
    <cfRule type="cellIs" dxfId="8" priority="6" operator="lessThan">
      <formula>0</formula>
    </cfRule>
  </conditionalFormatting>
  <conditionalFormatting sqref="D8:E14">
    <cfRule type="cellIs" dxfId="7" priority="1" operator="equal">
      <formula>0</formula>
    </cfRule>
    <cfRule type="cellIs" dxfId="6" priority="2" operator="equal">
      <formula>0</formula>
    </cfRule>
    <cfRule type="cellIs" dxfId="5" priority="3" operator="equal">
      <formula>0</formula>
    </cfRule>
    <cfRule type="cellIs" dxfId="4" priority="4" operator="equal">
      <formula>0</formula>
    </cfRule>
    <cfRule type="cellIs" dxfId="3" priority="5" operator="equal">
      <formula>0</formula>
    </cfRule>
  </conditionalFormatting>
  <pageMargins left="0.7" right="0.7" top="0.75" bottom="0.75" header="0.3" footer="0.3"/>
  <pageSetup paperSize="9" scale="130" orientation="landscape" r:id="rId1"/>
  <headerFooter>
    <oddHeader xml:space="preserve">&amp;CДевяткин Арсений, вариант 6, &amp;F
</oddHeader>
    <oddFooter xml:space="preserve">&amp;CДокумент создан 27.11.2020 15:33
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23EF5-16F8-4CDF-9A0A-0343105839E0}">
  <sheetPr codeName="Лист3"/>
  <dimension ref="A1:H16"/>
  <sheetViews>
    <sheetView topLeftCell="B2" zoomScale="145" zoomScaleNormal="145" workbookViewId="0">
      <selection activeCell="H17" sqref="H17"/>
    </sheetView>
  </sheetViews>
  <sheetFormatPr defaultRowHeight="14.4" outlineLevelCol="2" x14ac:dyDescent="0.3"/>
  <cols>
    <col min="2" max="2" width="25.21875" customWidth="1"/>
    <col min="3" max="3" width="17.6640625" customWidth="1"/>
    <col min="4" max="4" width="25.44140625" customWidth="1" outlineLevel="1"/>
    <col min="5" max="5" width="21.5546875" customWidth="1" outlineLevel="1"/>
    <col min="6" max="6" width="18.44140625" customWidth="1" outlineLevel="2" collapsed="1"/>
    <col min="7" max="7" width="16.6640625" customWidth="1" outlineLevel="2"/>
  </cols>
  <sheetData>
    <row r="1" spans="1:8" ht="15" thickBot="1" x14ac:dyDescent="0.35">
      <c r="A1" s="5" t="s">
        <v>28</v>
      </c>
      <c r="B1" s="5" t="s">
        <v>29</v>
      </c>
      <c r="C1" s="5" t="s">
        <v>30</v>
      </c>
      <c r="D1" s="5" t="s">
        <v>31</v>
      </c>
      <c r="E1" s="5" t="s">
        <v>32</v>
      </c>
      <c r="F1" s="5" t="s">
        <v>33</v>
      </c>
      <c r="G1" s="5" t="s">
        <v>34</v>
      </c>
      <c r="H1" s="5" t="s">
        <v>35</v>
      </c>
    </row>
    <row r="2" spans="1:8" x14ac:dyDescent="0.3">
      <c r="A2" s="36">
        <v>1</v>
      </c>
      <c r="B2" s="36" t="s">
        <v>36</v>
      </c>
      <c r="C2" s="36" t="s">
        <v>50</v>
      </c>
      <c r="D2" s="36" t="s">
        <v>38</v>
      </c>
      <c r="E2" s="36" t="s">
        <v>46</v>
      </c>
      <c r="F2" s="37">
        <v>37653</v>
      </c>
      <c r="G2" s="38" t="s">
        <v>61</v>
      </c>
      <c r="H2" s="36">
        <v>100</v>
      </c>
    </row>
    <row r="3" spans="1:8" x14ac:dyDescent="0.3">
      <c r="A3" s="3">
        <v>2</v>
      </c>
      <c r="B3" s="3" t="s">
        <v>53</v>
      </c>
      <c r="C3" s="3" t="s">
        <v>54</v>
      </c>
      <c r="D3" s="3" t="s">
        <v>38</v>
      </c>
      <c r="E3" s="3" t="s">
        <v>47</v>
      </c>
      <c r="F3" s="33">
        <v>37745</v>
      </c>
      <c r="G3" s="35" t="s">
        <v>61</v>
      </c>
      <c r="H3" s="3">
        <v>200</v>
      </c>
    </row>
    <row r="4" spans="1:8" x14ac:dyDescent="0.3">
      <c r="A4" s="3">
        <v>3</v>
      </c>
      <c r="B4" s="3" t="s">
        <v>37</v>
      </c>
      <c r="C4" s="3" t="s">
        <v>58</v>
      </c>
      <c r="D4" s="3" t="s">
        <v>38</v>
      </c>
      <c r="E4" s="3" t="s">
        <v>46</v>
      </c>
      <c r="F4" s="33">
        <v>37837</v>
      </c>
      <c r="G4" s="35" t="s">
        <v>62</v>
      </c>
      <c r="H4" s="3">
        <v>300</v>
      </c>
    </row>
    <row r="5" spans="1:8" x14ac:dyDescent="0.3">
      <c r="A5" s="3">
        <v>4</v>
      </c>
      <c r="B5" s="3" t="s">
        <v>36</v>
      </c>
      <c r="C5" s="3" t="s">
        <v>51</v>
      </c>
      <c r="D5" s="3" t="s">
        <v>38</v>
      </c>
      <c r="E5" s="3" t="s">
        <v>47</v>
      </c>
      <c r="F5" s="33">
        <v>37929</v>
      </c>
      <c r="G5" s="35" t="s">
        <v>62</v>
      </c>
      <c r="H5" s="3">
        <v>400</v>
      </c>
    </row>
    <row r="6" spans="1:8" x14ac:dyDescent="0.3">
      <c r="A6" s="3">
        <v>5</v>
      </c>
      <c r="B6" s="3" t="s">
        <v>53</v>
      </c>
      <c r="C6" s="3" t="s">
        <v>55</v>
      </c>
      <c r="D6" s="3" t="s">
        <v>38</v>
      </c>
      <c r="E6" s="3" t="s">
        <v>49</v>
      </c>
      <c r="F6" s="33">
        <v>38021</v>
      </c>
      <c r="G6" s="3" t="s">
        <v>63</v>
      </c>
      <c r="H6" s="3">
        <v>500</v>
      </c>
    </row>
    <row r="7" spans="1:8" x14ac:dyDescent="0.3">
      <c r="A7" s="3">
        <v>6</v>
      </c>
      <c r="B7" s="3" t="s">
        <v>37</v>
      </c>
      <c r="C7" s="3" t="s">
        <v>59</v>
      </c>
      <c r="D7" s="3" t="s">
        <v>39</v>
      </c>
      <c r="E7" s="3" t="s">
        <v>44</v>
      </c>
      <c r="F7" s="33">
        <v>38113</v>
      </c>
      <c r="G7" s="35" t="s">
        <v>61</v>
      </c>
      <c r="H7" s="3">
        <v>600</v>
      </c>
    </row>
    <row r="8" spans="1:8" x14ac:dyDescent="0.3">
      <c r="A8" s="3">
        <v>7</v>
      </c>
      <c r="B8" s="3" t="s">
        <v>36</v>
      </c>
      <c r="C8" s="3" t="s">
        <v>52</v>
      </c>
      <c r="D8" s="3" t="s">
        <v>39</v>
      </c>
      <c r="E8" s="3" t="s">
        <v>45</v>
      </c>
      <c r="F8" s="33">
        <v>38205</v>
      </c>
      <c r="G8" s="35" t="s">
        <v>61</v>
      </c>
      <c r="H8" s="3">
        <v>700</v>
      </c>
    </row>
    <row r="9" spans="1:8" x14ac:dyDescent="0.3">
      <c r="A9" s="3">
        <v>8</v>
      </c>
      <c r="B9" s="3" t="s">
        <v>53</v>
      </c>
      <c r="C9" s="3" t="s">
        <v>64</v>
      </c>
      <c r="D9" s="3" t="s">
        <v>39</v>
      </c>
      <c r="E9" s="3" t="s">
        <v>44</v>
      </c>
      <c r="F9" s="33">
        <v>38297</v>
      </c>
      <c r="G9" s="35" t="s">
        <v>62</v>
      </c>
      <c r="H9" s="3">
        <v>800</v>
      </c>
    </row>
    <row r="10" spans="1:8" x14ac:dyDescent="0.3">
      <c r="A10" s="3">
        <v>9</v>
      </c>
      <c r="B10" s="3" t="s">
        <v>37</v>
      </c>
      <c r="C10" s="3" t="s">
        <v>59</v>
      </c>
      <c r="D10" s="3" t="s">
        <v>39</v>
      </c>
      <c r="E10" s="3" t="s">
        <v>45</v>
      </c>
      <c r="F10" s="33">
        <v>38389</v>
      </c>
      <c r="G10" s="35" t="s">
        <v>62</v>
      </c>
      <c r="H10" s="3">
        <v>900</v>
      </c>
    </row>
    <row r="11" spans="1:8" x14ac:dyDescent="0.3">
      <c r="A11" s="3">
        <v>10</v>
      </c>
      <c r="B11" s="3" t="s">
        <v>36</v>
      </c>
      <c r="C11" s="3" t="s">
        <v>50</v>
      </c>
      <c r="D11" s="3" t="s">
        <v>39</v>
      </c>
      <c r="E11" s="3" t="s">
        <v>48</v>
      </c>
      <c r="F11" s="33">
        <v>38481</v>
      </c>
      <c r="G11" s="3" t="s">
        <v>63</v>
      </c>
      <c r="H11" s="3">
        <v>1000</v>
      </c>
    </row>
    <row r="12" spans="1:8" x14ac:dyDescent="0.3">
      <c r="A12" s="3">
        <v>11</v>
      </c>
      <c r="B12" s="3" t="s">
        <v>53</v>
      </c>
      <c r="C12" s="3" t="s">
        <v>56</v>
      </c>
      <c r="D12" s="3" t="s">
        <v>40</v>
      </c>
      <c r="E12" s="3" t="s">
        <v>41</v>
      </c>
      <c r="F12" s="33">
        <v>38573</v>
      </c>
      <c r="G12" s="35" t="s">
        <v>61</v>
      </c>
      <c r="H12" s="3">
        <v>1100</v>
      </c>
    </row>
    <row r="13" spans="1:8" x14ac:dyDescent="0.3">
      <c r="A13" s="3">
        <v>12</v>
      </c>
      <c r="B13" s="3" t="s">
        <v>37</v>
      </c>
      <c r="C13" s="3" t="s">
        <v>60</v>
      </c>
      <c r="D13" s="3" t="s">
        <v>40</v>
      </c>
      <c r="E13" s="3" t="s">
        <v>42</v>
      </c>
      <c r="F13" s="33">
        <v>38665</v>
      </c>
      <c r="G13" s="35" t="s">
        <v>61</v>
      </c>
      <c r="H13" s="3">
        <v>1200</v>
      </c>
    </row>
    <row r="14" spans="1:8" x14ac:dyDescent="0.3">
      <c r="A14" s="3">
        <v>13</v>
      </c>
      <c r="B14" s="3" t="s">
        <v>36</v>
      </c>
      <c r="C14" s="3" t="s">
        <v>52</v>
      </c>
      <c r="D14" s="3" t="s">
        <v>40</v>
      </c>
      <c r="E14" s="3" t="s">
        <v>43</v>
      </c>
      <c r="F14" s="33">
        <v>38757</v>
      </c>
      <c r="G14" s="35" t="s">
        <v>62</v>
      </c>
      <c r="H14" s="3">
        <v>1300</v>
      </c>
    </row>
    <row r="15" spans="1:8" x14ac:dyDescent="0.3">
      <c r="A15" s="3">
        <v>14</v>
      </c>
      <c r="B15" s="3" t="s">
        <v>53</v>
      </c>
      <c r="C15" s="3" t="s">
        <v>57</v>
      </c>
      <c r="D15" s="3" t="s">
        <v>40</v>
      </c>
      <c r="E15" s="3" t="s">
        <v>42</v>
      </c>
      <c r="F15" s="33">
        <v>38849</v>
      </c>
      <c r="G15" s="35" t="s">
        <v>62</v>
      </c>
      <c r="H15" s="3">
        <v>1400</v>
      </c>
    </row>
    <row r="16" spans="1:8" ht="15" thickBot="1" x14ac:dyDescent="0.35">
      <c r="A16" s="4">
        <v>15</v>
      </c>
      <c r="B16" s="4" t="s">
        <v>37</v>
      </c>
      <c r="C16" s="4" t="s">
        <v>58</v>
      </c>
      <c r="D16" s="4" t="s">
        <v>40</v>
      </c>
      <c r="E16" s="4" t="s">
        <v>43</v>
      </c>
      <c r="F16" s="34">
        <v>38941</v>
      </c>
      <c r="G16" s="4" t="s">
        <v>63</v>
      </c>
      <c r="H16" s="4">
        <v>1500</v>
      </c>
    </row>
  </sheetData>
  <autoFilter ref="A1:H16" xr:uid="{D2DE42F6-C0DD-4506-8172-F6F31A4946D0}"/>
  <dataValidations count="3">
    <dataValidation type="whole" operator="greaterThan" allowBlank="1" showInputMessage="1" showErrorMessage="1" errorTitle="Недопустимое значени!" error="Допустимы лишь натуральные числа" sqref="A2:A16" xr:uid="{43D937B3-C61F-472A-9B68-069B24F30111}">
      <formula1>1</formula1>
    </dataValidation>
    <dataValidation type="textLength" operator="lessThan" allowBlank="1" showInputMessage="1" showErrorMessage="1" errorTitle="Слишком длинное название!" error="Название должно содержать не более 20 букв" prompt="Не более 20 букв" sqref="E2:E16" xr:uid="{2FC53849-862A-409C-8C36-0021360024CA}">
      <formula1>20</formula1>
    </dataValidation>
    <dataValidation type="whole" operator="greaterThan" allowBlank="1" showInputMessage="1" showErrorMessage="1" errorTitle="Неверное значение!" error="Допустимы лишь натуральные числа" sqref="H2:H16" xr:uid="{5CA18F4B-8107-4B05-943C-C0B8CDF16671}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CF8C9-D00D-41C0-9636-B263E4618B1C}">
  <sheetPr codeName="Лист4"/>
  <dimension ref="A1:L17"/>
  <sheetViews>
    <sheetView zoomScale="145" zoomScaleNormal="145" workbookViewId="0">
      <selection activeCell="M10" sqref="M10"/>
    </sheetView>
  </sheetViews>
  <sheetFormatPr defaultRowHeight="14.4" x14ac:dyDescent="0.3"/>
  <cols>
    <col min="1" max="1" width="6.44140625" bestFit="1" customWidth="1"/>
    <col min="2" max="2" width="15.5546875" bestFit="1" customWidth="1"/>
    <col min="3" max="3" width="4" bestFit="1" customWidth="1"/>
    <col min="4" max="4" width="9" bestFit="1" customWidth="1"/>
    <col min="5" max="5" width="6.109375" bestFit="1" customWidth="1"/>
    <col min="6" max="6" width="10.88671875" bestFit="1" customWidth="1"/>
    <col min="7" max="7" width="13.21875" bestFit="1" customWidth="1"/>
    <col min="8" max="8" width="18.21875" bestFit="1" customWidth="1"/>
    <col min="9" max="9" width="8.6640625" bestFit="1" customWidth="1"/>
    <col min="10" max="10" width="5.21875" bestFit="1" customWidth="1"/>
  </cols>
  <sheetData>
    <row r="1" spans="1:12" x14ac:dyDescent="0.3">
      <c r="A1" s="40" t="s">
        <v>65</v>
      </c>
      <c r="B1" s="40" t="s">
        <v>66</v>
      </c>
      <c r="C1" s="40" t="s">
        <v>67</v>
      </c>
      <c r="D1" s="40" t="s">
        <v>68</v>
      </c>
      <c r="E1" s="40" t="s">
        <v>69</v>
      </c>
      <c r="F1" s="40" t="s">
        <v>70</v>
      </c>
      <c r="G1" s="40" t="s">
        <v>71</v>
      </c>
      <c r="H1" s="40" t="s">
        <v>72</v>
      </c>
      <c r="I1" s="40" t="s">
        <v>73</v>
      </c>
      <c r="J1" s="40" t="s">
        <v>74</v>
      </c>
    </row>
    <row r="2" spans="1:12" x14ac:dyDescent="0.3">
      <c r="A2" s="41">
        <v>1</v>
      </c>
      <c r="B2" s="41" t="s">
        <v>109</v>
      </c>
      <c r="C2" s="41">
        <v>30</v>
      </c>
      <c r="D2" s="41">
        <v>18</v>
      </c>
      <c r="E2" s="41">
        <v>6</v>
      </c>
      <c r="F2" s="41">
        <f>C2-D2-E2</f>
        <v>6</v>
      </c>
      <c r="G2" s="41">
        <v>44</v>
      </c>
      <c r="H2" s="41">
        <v>26</v>
      </c>
      <c r="I2" s="41">
        <f>G2-H2</f>
        <v>18</v>
      </c>
      <c r="J2" s="41">
        <f>D2*3+E2</f>
        <v>60</v>
      </c>
    </row>
    <row r="3" spans="1:12" x14ac:dyDescent="0.3">
      <c r="A3" s="41">
        <v>2</v>
      </c>
      <c r="B3" s="41" t="s">
        <v>75</v>
      </c>
      <c r="C3" s="41">
        <v>30</v>
      </c>
      <c r="D3" s="41">
        <v>16</v>
      </c>
      <c r="E3" s="41">
        <v>8</v>
      </c>
      <c r="F3" s="41">
        <f t="shared" ref="F3:F17" si="0">C3-D3-E3</f>
        <v>6</v>
      </c>
      <c r="G3" s="41">
        <v>53</v>
      </c>
      <c r="H3" s="41">
        <v>24</v>
      </c>
      <c r="I3" s="41">
        <f t="shared" ref="I3:I17" si="1">G3-H3</f>
        <v>29</v>
      </c>
      <c r="J3" s="41">
        <f t="shared" ref="J3:J17" si="2">D3*3+E3</f>
        <v>56</v>
      </c>
    </row>
    <row r="4" spans="1:12" x14ac:dyDescent="0.3">
      <c r="A4" s="41">
        <v>3</v>
      </c>
      <c r="B4" s="41" t="s">
        <v>76</v>
      </c>
      <c r="C4" s="41">
        <v>30</v>
      </c>
      <c r="D4" s="41">
        <v>15</v>
      </c>
      <c r="E4" s="41">
        <v>9</v>
      </c>
      <c r="F4" s="41">
        <f t="shared" si="0"/>
        <v>6</v>
      </c>
      <c r="G4" s="41">
        <v>41</v>
      </c>
      <c r="H4" s="41">
        <v>29</v>
      </c>
      <c r="I4" s="41">
        <f t="shared" si="1"/>
        <v>12</v>
      </c>
      <c r="J4" s="41">
        <f t="shared" si="2"/>
        <v>54</v>
      </c>
    </row>
    <row r="5" spans="1:12" x14ac:dyDescent="0.3">
      <c r="A5" s="41">
        <v>4</v>
      </c>
      <c r="B5" s="41" t="s">
        <v>77</v>
      </c>
      <c r="C5" s="41">
        <v>30</v>
      </c>
      <c r="D5" s="41">
        <v>14</v>
      </c>
      <c r="E5" s="41">
        <v>9</v>
      </c>
      <c r="F5" s="41">
        <f t="shared" si="0"/>
        <v>7</v>
      </c>
      <c r="G5" s="41">
        <v>31</v>
      </c>
      <c r="H5" s="41">
        <v>22</v>
      </c>
      <c r="I5" s="41">
        <f t="shared" si="1"/>
        <v>9</v>
      </c>
      <c r="J5" s="41">
        <f t="shared" si="2"/>
        <v>51</v>
      </c>
    </row>
    <row r="6" spans="1:12" x14ac:dyDescent="0.3">
      <c r="A6" s="41">
        <v>5</v>
      </c>
      <c r="B6" s="41" t="s">
        <v>78</v>
      </c>
      <c r="C6" s="41">
        <v>30</v>
      </c>
      <c r="D6" s="41">
        <v>12</v>
      </c>
      <c r="E6" s="41">
        <v>12</v>
      </c>
      <c r="F6" s="41">
        <f t="shared" si="0"/>
        <v>6</v>
      </c>
      <c r="G6" s="41">
        <v>59</v>
      </c>
      <c r="H6" s="41">
        <v>37</v>
      </c>
      <c r="I6" s="41">
        <f t="shared" si="1"/>
        <v>22</v>
      </c>
      <c r="J6" s="41">
        <f t="shared" si="2"/>
        <v>48</v>
      </c>
    </row>
    <row r="7" spans="1:12" x14ac:dyDescent="0.3">
      <c r="A7" s="41">
        <v>6</v>
      </c>
      <c r="B7" s="41" t="s">
        <v>79</v>
      </c>
      <c r="C7" s="41">
        <v>30</v>
      </c>
      <c r="D7" s="41">
        <v>12</v>
      </c>
      <c r="E7" s="41">
        <v>12</v>
      </c>
      <c r="F7" s="41">
        <f t="shared" si="0"/>
        <v>6</v>
      </c>
      <c r="G7" s="41">
        <v>46</v>
      </c>
      <c r="H7" s="41">
        <v>28</v>
      </c>
      <c r="I7" s="41">
        <f t="shared" si="1"/>
        <v>18</v>
      </c>
      <c r="J7" s="41">
        <f t="shared" si="2"/>
        <v>48</v>
      </c>
    </row>
    <row r="8" spans="1:12" x14ac:dyDescent="0.3">
      <c r="A8" s="41">
        <v>7</v>
      </c>
      <c r="B8" s="41" t="s">
        <v>80</v>
      </c>
      <c r="C8" s="41">
        <v>30</v>
      </c>
      <c r="D8" s="41">
        <v>13</v>
      </c>
      <c r="E8" s="41">
        <v>8</v>
      </c>
      <c r="F8" s="41">
        <f t="shared" si="0"/>
        <v>9</v>
      </c>
      <c r="G8" s="41">
        <v>37</v>
      </c>
      <c r="H8" s="41">
        <v>32</v>
      </c>
      <c r="I8" s="41">
        <f t="shared" si="1"/>
        <v>5</v>
      </c>
      <c r="J8" s="41">
        <f t="shared" si="2"/>
        <v>47</v>
      </c>
    </row>
    <row r="9" spans="1:12" x14ac:dyDescent="0.3">
      <c r="A9" s="41">
        <v>8</v>
      </c>
      <c r="B9" s="41" t="s">
        <v>81</v>
      </c>
      <c r="C9" s="41">
        <v>30</v>
      </c>
      <c r="D9" s="41">
        <v>11</v>
      </c>
      <c r="E9" s="41">
        <v>11</v>
      </c>
      <c r="F9" s="41">
        <f t="shared" si="0"/>
        <v>8</v>
      </c>
      <c r="G9" s="41">
        <v>43</v>
      </c>
      <c r="H9" s="41">
        <v>29</v>
      </c>
      <c r="I9" s="41">
        <f t="shared" si="1"/>
        <v>14</v>
      </c>
      <c r="J9" s="41">
        <f t="shared" si="2"/>
        <v>44</v>
      </c>
      <c r="L9" t="s">
        <v>90</v>
      </c>
    </row>
    <row r="10" spans="1:12" x14ac:dyDescent="0.3">
      <c r="A10" s="41">
        <v>9</v>
      </c>
      <c r="B10" s="41" t="s">
        <v>82</v>
      </c>
      <c r="C10" s="41">
        <v>30</v>
      </c>
      <c r="D10" s="41">
        <v>12</v>
      </c>
      <c r="E10" s="41">
        <v>11</v>
      </c>
      <c r="F10" s="41">
        <f t="shared" si="0"/>
        <v>7</v>
      </c>
      <c r="G10" s="41">
        <v>34</v>
      </c>
      <c r="H10" s="41">
        <v>36</v>
      </c>
      <c r="I10" s="41">
        <f t="shared" si="1"/>
        <v>-2</v>
      </c>
      <c r="J10" s="41">
        <f t="shared" si="2"/>
        <v>47</v>
      </c>
    </row>
    <row r="11" spans="1:12" x14ac:dyDescent="0.3">
      <c r="A11" s="41">
        <v>10</v>
      </c>
      <c r="B11" s="41" t="s">
        <v>83</v>
      </c>
      <c r="C11" s="41">
        <v>30</v>
      </c>
      <c r="D11" s="41">
        <v>9</v>
      </c>
      <c r="E11" s="41">
        <v>8</v>
      </c>
      <c r="F11" s="41">
        <f t="shared" si="0"/>
        <v>13</v>
      </c>
      <c r="G11" s="41">
        <v>28</v>
      </c>
      <c r="H11" s="41">
        <v>42</v>
      </c>
      <c r="I11" s="41">
        <f t="shared" si="1"/>
        <v>-14</v>
      </c>
      <c r="J11" s="41">
        <f t="shared" si="2"/>
        <v>35</v>
      </c>
    </row>
    <row r="12" spans="1:12" x14ac:dyDescent="0.3">
      <c r="A12" s="41">
        <v>11</v>
      </c>
      <c r="B12" s="41" t="s">
        <v>84</v>
      </c>
      <c r="C12" s="41">
        <v>30</v>
      </c>
      <c r="D12" s="41">
        <v>7</v>
      </c>
      <c r="E12" s="41">
        <v>12</v>
      </c>
      <c r="F12" s="41">
        <f t="shared" si="0"/>
        <v>11</v>
      </c>
      <c r="G12" s="41">
        <v>26</v>
      </c>
      <c r="H12" s="41">
        <v>30</v>
      </c>
      <c r="I12" s="41">
        <f t="shared" si="1"/>
        <v>-4</v>
      </c>
      <c r="J12" s="41">
        <f t="shared" si="2"/>
        <v>33</v>
      </c>
    </row>
    <row r="13" spans="1:12" x14ac:dyDescent="0.3">
      <c r="A13" s="41">
        <v>12</v>
      </c>
      <c r="B13" s="41" t="s">
        <v>85</v>
      </c>
      <c r="C13" s="41">
        <v>30</v>
      </c>
      <c r="D13" s="41">
        <v>8</v>
      </c>
      <c r="E13" s="41">
        <v>8</v>
      </c>
      <c r="F13" s="41">
        <f t="shared" si="0"/>
        <v>14</v>
      </c>
      <c r="G13" s="41">
        <v>30</v>
      </c>
      <c r="H13" s="41">
        <v>39</v>
      </c>
      <c r="I13" s="41">
        <f t="shared" si="1"/>
        <v>-9</v>
      </c>
      <c r="J13" s="41">
        <f t="shared" si="2"/>
        <v>32</v>
      </c>
    </row>
    <row r="14" spans="1:12" x14ac:dyDescent="0.3">
      <c r="A14" s="41">
        <v>13</v>
      </c>
      <c r="B14" s="41" t="s">
        <v>86</v>
      </c>
      <c r="C14" s="41">
        <v>30</v>
      </c>
      <c r="D14" s="41">
        <v>7</v>
      </c>
      <c r="E14" s="41">
        <v>8</v>
      </c>
      <c r="F14" s="41">
        <f t="shared" si="0"/>
        <v>15</v>
      </c>
      <c r="G14" s="41">
        <v>23</v>
      </c>
      <c r="H14" s="41">
        <v>39</v>
      </c>
      <c r="I14" s="41">
        <f t="shared" si="1"/>
        <v>-16</v>
      </c>
      <c r="J14" s="41">
        <f t="shared" si="2"/>
        <v>29</v>
      </c>
    </row>
    <row r="15" spans="1:12" x14ac:dyDescent="0.3">
      <c r="A15" s="41">
        <v>14</v>
      </c>
      <c r="B15" s="41" t="s">
        <v>87</v>
      </c>
      <c r="C15" s="41">
        <v>30</v>
      </c>
      <c r="D15" s="41">
        <v>6</v>
      </c>
      <c r="E15" s="41">
        <v>9</v>
      </c>
      <c r="F15" s="41">
        <f t="shared" si="0"/>
        <v>15</v>
      </c>
      <c r="G15" s="41">
        <v>34</v>
      </c>
      <c r="H15" s="41">
        <v>54</v>
      </c>
      <c r="I15" s="41">
        <f t="shared" si="1"/>
        <v>-20</v>
      </c>
      <c r="J15" s="41">
        <f t="shared" si="2"/>
        <v>27</v>
      </c>
    </row>
    <row r="16" spans="1:12" x14ac:dyDescent="0.3">
      <c r="A16" s="41">
        <v>15</v>
      </c>
      <c r="B16" s="41" t="s">
        <v>88</v>
      </c>
      <c r="C16" s="41">
        <v>30</v>
      </c>
      <c r="D16" s="41">
        <v>5</v>
      </c>
      <c r="E16" s="41">
        <v>7</v>
      </c>
      <c r="F16" s="41">
        <f t="shared" si="0"/>
        <v>18</v>
      </c>
      <c r="G16" s="41">
        <v>25</v>
      </c>
      <c r="H16" s="41">
        <v>48</v>
      </c>
      <c r="I16" s="41">
        <f t="shared" si="1"/>
        <v>-23</v>
      </c>
      <c r="J16" s="41">
        <f t="shared" si="2"/>
        <v>22</v>
      </c>
    </row>
    <row r="17" spans="1:10" x14ac:dyDescent="0.3">
      <c r="A17" s="41">
        <v>16</v>
      </c>
      <c r="B17" s="41" t="s">
        <v>89</v>
      </c>
      <c r="C17" s="41">
        <v>30</v>
      </c>
      <c r="D17" s="41">
        <v>3</v>
      </c>
      <c r="E17" s="41">
        <v>12</v>
      </c>
      <c r="F17" s="41">
        <f t="shared" si="0"/>
        <v>15</v>
      </c>
      <c r="G17" s="41">
        <v>24</v>
      </c>
      <c r="H17" s="41">
        <v>53</v>
      </c>
      <c r="I17" s="41">
        <f t="shared" si="1"/>
        <v>-29</v>
      </c>
      <c r="J17" s="41">
        <f t="shared" si="2"/>
        <v>21</v>
      </c>
    </row>
  </sheetData>
  <conditionalFormatting sqref="I2:I17">
    <cfRule type="top10" dxfId="2" priority="3" bottom="1" rank="4"/>
    <cfRule type="cellIs" dxfId="1" priority="4" operator="equal">
      <formula>0</formula>
    </cfRule>
    <cfRule type="top10" dxfId="0" priority="5" rank="3"/>
  </conditionalFormatting>
  <conditionalFormatting sqref="J2:J17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{3E8F5CD3-9933-45FA-8F34-522AB26A42A4}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E8F5CD3-9933-45FA-8F34-522AB26A42A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J2:J17</xm:sqref>
        </x14:conditionalFormatting>
        <x14:conditionalFormatting xmlns:xm="http://schemas.microsoft.com/office/excel/2006/main">
          <x14:cfRule type="iconSet" priority="8" id="{A8B315F7-32A4-4E47-888F-4068E7531DA4}">
            <x14:iconSet iconSet="3Arrows" custom="1">
              <x14:cfvo type="percent">
                <xm:f>0</xm:f>
              </x14:cfvo>
              <x14:cfvo type="percent">
                <xm:f>33</xm:f>
              </x14:cfvo>
              <x14:cfvo type="percent">
                <xm:f>100</xm:f>
              </x14:cfvo>
              <x14:cfIcon iconSet="NoIcons" iconId="0"/>
              <x14:cfIcon iconSet="NoIcons" iconId="0"/>
              <x14:cfIcon iconSet="3Arrows" iconId="2"/>
            </x14:iconSet>
          </x14:cfRule>
          <xm:sqref>D2:D17</xm:sqref>
        </x14:conditionalFormatting>
        <x14:conditionalFormatting xmlns:xm="http://schemas.microsoft.com/office/excel/2006/main">
          <x14:cfRule type="iconSet" priority="7" id="{FED709EF-DB57-4CA7-BFAE-CEB0814F9C55}">
            <x14:iconSet iconSet="3Symbols2" custom="1">
              <x14:cfvo type="percent">
                <xm:f>0</xm:f>
              </x14:cfvo>
              <x14:cfvo type="percent">
                <xm:f>33</xm:f>
              </x14:cfvo>
              <x14:cfvo type="percent">
                <xm:f>100</xm:f>
              </x14:cfvo>
              <x14:cfIcon iconSet="NoIcons" iconId="0"/>
              <x14:cfIcon iconSet="NoIcons" iconId="0"/>
              <x14:cfIcon iconSet="3Symbols2" iconId="1"/>
            </x14:iconSet>
          </x14:cfRule>
          <xm:sqref>E2:E17</xm:sqref>
        </x14:conditionalFormatting>
        <x14:conditionalFormatting xmlns:xm="http://schemas.microsoft.com/office/excel/2006/main">
          <x14:cfRule type="iconSet" priority="6" id="{61783179-5F17-44D9-A05C-A08A4DC17598}">
            <x14:iconSet iconSet="3Symbols2" custom="1">
              <x14:cfvo type="percent">
                <xm:f>0</xm:f>
              </x14:cfvo>
              <x14:cfvo type="percent">
                <xm:f>33</xm:f>
              </x14:cfvo>
              <x14:cfvo type="percent">
                <xm:f>100</xm:f>
              </x14:cfvo>
              <x14:cfIcon iconSet="NoIcons" iconId="0"/>
              <x14:cfIcon iconSet="NoIcons" iconId="0"/>
              <x14:cfIcon iconSet="3Symbols2" iconId="0"/>
            </x14:iconSet>
          </x14:cfRule>
          <xm:sqref>F2:F17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9AD23-115F-4407-9D2D-23B3EDD5B1FE}">
  <sheetPr codeName="Лист5"/>
  <dimension ref="A1:F37"/>
  <sheetViews>
    <sheetView tabSelected="1" zoomScale="130" zoomScaleNormal="130" workbookViewId="0">
      <selection activeCell="G3" sqref="G3"/>
    </sheetView>
  </sheetViews>
  <sheetFormatPr defaultRowHeight="14.4" x14ac:dyDescent="0.3"/>
  <cols>
    <col min="5" max="5" width="25.77734375" customWidth="1"/>
    <col min="6" max="6" width="8.88671875" customWidth="1"/>
  </cols>
  <sheetData>
    <row r="1" spans="1:6" x14ac:dyDescent="0.3">
      <c r="B1" s="50" t="s">
        <v>91</v>
      </c>
      <c r="C1" s="50"/>
      <c r="E1" t="str">
        <f>IF(DATEDIF("02.09.2019",A4,"D")&lt;157,"Осенний","Весенний")</f>
        <v>Осенний</v>
      </c>
    </row>
    <row r="2" spans="1:6" x14ac:dyDescent="0.3">
      <c r="B2" s="50" t="s">
        <v>92</v>
      </c>
      <c r="C2" s="50"/>
      <c r="E2" t="str">
        <f>IF(MOD((QUOTIENT(DATEDIF("01.09.2019",A4,"D"),7)+1),2)&lt;&gt;0,"Нечетная","Четная")</f>
        <v>Нечетная</v>
      </c>
    </row>
    <row r="3" spans="1:6" ht="29.4" customHeight="1" x14ac:dyDescent="0.3">
      <c r="A3" s="46" t="s">
        <v>93</v>
      </c>
      <c r="B3" s="47" t="s">
        <v>94</v>
      </c>
      <c r="C3" s="47" t="s">
        <v>95</v>
      </c>
      <c r="D3" s="47" t="s">
        <v>96</v>
      </c>
      <c r="E3" s="46" t="s">
        <v>97</v>
      </c>
      <c r="F3" s="47" t="s">
        <v>98</v>
      </c>
    </row>
    <row r="4" spans="1:6" ht="14.4" customHeight="1" x14ac:dyDescent="0.3">
      <c r="A4" s="59">
        <v>43710</v>
      </c>
      <c r="B4" s="62" t="s">
        <v>99</v>
      </c>
      <c r="C4" s="42">
        <v>0.34722222222222227</v>
      </c>
      <c r="D4" s="42">
        <v>0.40972222222222227</v>
      </c>
      <c r="E4" s="41" t="str">
        <f>IF(E2="Нечетная", "ОПД(прак)","")</f>
        <v>ОПД(прак)</v>
      </c>
      <c r="F4" s="41">
        <v>101</v>
      </c>
    </row>
    <row r="5" spans="1:6" x14ac:dyDescent="0.3">
      <c r="A5" s="60"/>
      <c r="B5" s="63"/>
      <c r="C5" s="42">
        <v>0.41666666666666669</v>
      </c>
      <c r="D5" s="42">
        <v>0.47916666666666669</v>
      </c>
      <c r="E5" s="41" t="str">
        <f>E4</f>
        <v>ОПД(прак)</v>
      </c>
      <c r="F5" s="41">
        <v>101</v>
      </c>
    </row>
    <row r="6" spans="1:6" x14ac:dyDescent="0.3">
      <c r="A6" s="60"/>
      <c r="B6" s="63"/>
      <c r="C6" s="42">
        <v>0.4861111111111111</v>
      </c>
      <c r="D6" s="42">
        <v>0.54861111111111105</v>
      </c>
      <c r="E6" s="41" t="str">
        <f>IF(E2="Нечетная", "Программирование (прак)","Информатика (прак)")</f>
        <v>Программирование (прак)</v>
      </c>
      <c r="F6" s="41">
        <v>324</v>
      </c>
    </row>
    <row r="7" spans="1:6" ht="12" customHeight="1" x14ac:dyDescent="0.3">
      <c r="A7" s="60"/>
      <c r="B7" s="63"/>
      <c r="C7" s="42">
        <v>0.5625</v>
      </c>
      <c r="D7" s="42">
        <v>0.625</v>
      </c>
      <c r="E7" s="41" t="str">
        <f>E6</f>
        <v>Программирование (прак)</v>
      </c>
      <c r="F7" s="41">
        <v>324</v>
      </c>
    </row>
    <row r="8" spans="1:6" x14ac:dyDescent="0.3">
      <c r="A8" s="61"/>
      <c r="B8" s="64"/>
      <c r="C8" s="44">
        <v>0.63888888888888895</v>
      </c>
      <c r="D8" s="44">
        <v>0.70138888888888884</v>
      </c>
      <c r="E8" s="41"/>
      <c r="F8" s="41"/>
    </row>
    <row r="10" spans="1:6" ht="14.4" customHeight="1" x14ac:dyDescent="0.3">
      <c r="A10" s="46" t="s">
        <v>93</v>
      </c>
      <c r="B10" s="47" t="s">
        <v>94</v>
      </c>
      <c r="C10" s="47" t="s">
        <v>95</v>
      </c>
      <c r="D10" s="47" t="s">
        <v>96</v>
      </c>
      <c r="E10" s="46" t="s">
        <v>97</v>
      </c>
      <c r="F10" s="47" t="s">
        <v>98</v>
      </c>
    </row>
    <row r="11" spans="1:6" ht="14.4" customHeight="1" x14ac:dyDescent="0.3">
      <c r="A11" s="57">
        <f>A4+1</f>
        <v>43711</v>
      </c>
      <c r="B11" s="58" t="s">
        <v>100</v>
      </c>
      <c r="C11" s="42">
        <v>0.34722222222222227</v>
      </c>
      <c r="D11" s="42">
        <v>0.40972222222222227</v>
      </c>
      <c r="E11" s="41"/>
      <c r="F11" s="41"/>
    </row>
    <row r="12" spans="1:6" x14ac:dyDescent="0.3">
      <c r="A12" s="57"/>
      <c r="B12" s="58"/>
      <c r="C12" s="42">
        <v>0.41666666666666669</v>
      </c>
      <c r="D12" s="42">
        <v>0.47916666666666669</v>
      </c>
      <c r="E12" s="41"/>
      <c r="F12" s="41"/>
    </row>
    <row r="13" spans="1:6" x14ac:dyDescent="0.3">
      <c r="A13" s="57"/>
      <c r="B13" s="58"/>
      <c r="C13" s="42">
        <v>0.4861111111111111</v>
      </c>
      <c r="D13" s="42">
        <v>0.54861111111111105</v>
      </c>
      <c r="E13" s="41"/>
      <c r="F13" s="41"/>
    </row>
    <row r="14" spans="1:6" x14ac:dyDescent="0.3">
      <c r="A14" s="57"/>
      <c r="B14" s="58"/>
      <c r="C14" s="44">
        <v>0.5625</v>
      </c>
      <c r="D14" s="44">
        <v>0.625</v>
      </c>
      <c r="E14" s="41" t="s">
        <v>101</v>
      </c>
      <c r="F14" s="41">
        <v>329</v>
      </c>
    </row>
    <row r="15" spans="1:6" ht="14.4" customHeight="1" x14ac:dyDescent="0.3">
      <c r="A15" s="57"/>
      <c r="B15" s="58"/>
      <c r="C15" s="44">
        <v>0.63888888888888895</v>
      </c>
      <c r="D15" s="44">
        <v>0.70138888888888884</v>
      </c>
      <c r="E15" s="41" t="s">
        <v>102</v>
      </c>
      <c r="F15" s="41">
        <v>550</v>
      </c>
    </row>
    <row r="16" spans="1:6" x14ac:dyDescent="0.3">
      <c r="A16" s="57"/>
      <c r="B16" s="58"/>
      <c r="C16" s="44">
        <v>0.70833333333333337</v>
      </c>
      <c r="D16" s="44">
        <v>0.77083333333333337</v>
      </c>
      <c r="E16" s="41" t="s">
        <v>107</v>
      </c>
      <c r="F16" s="41">
        <v>539</v>
      </c>
    </row>
    <row r="17" spans="1:6" x14ac:dyDescent="0.3">
      <c r="A17" s="48"/>
      <c r="B17" s="43"/>
      <c r="C17" s="45"/>
      <c r="D17" s="45"/>
      <c r="E17" s="39"/>
      <c r="F17" s="39"/>
    </row>
    <row r="18" spans="1:6" ht="28.8" x14ac:dyDescent="0.3">
      <c r="A18" s="46" t="s">
        <v>93</v>
      </c>
      <c r="B18" s="47" t="s">
        <v>94</v>
      </c>
      <c r="C18" s="47" t="s">
        <v>95</v>
      </c>
      <c r="D18" s="47" t="s">
        <v>96</v>
      </c>
      <c r="E18" s="46" t="s">
        <v>97</v>
      </c>
      <c r="F18" s="47" t="s">
        <v>98</v>
      </c>
    </row>
    <row r="19" spans="1:6" x14ac:dyDescent="0.3">
      <c r="A19" s="59">
        <f>A11+1</f>
        <v>43712</v>
      </c>
      <c r="B19" s="62" t="s">
        <v>103</v>
      </c>
      <c r="C19" s="42">
        <v>0.34722222222222227</v>
      </c>
      <c r="D19" s="42">
        <v>0.40972222222222227</v>
      </c>
      <c r="E19" s="41"/>
      <c r="F19" s="41"/>
    </row>
    <row r="20" spans="1:6" x14ac:dyDescent="0.3">
      <c r="A20" s="60"/>
      <c r="B20" s="63"/>
      <c r="C20" s="42">
        <v>0.41666666666666669</v>
      </c>
      <c r="D20" s="42">
        <v>0.47916666666666669</v>
      </c>
      <c r="E20" s="41" t="str">
        <f>IF(E2="Нечетная", "Дискретная математика(лек)","")</f>
        <v>Дискретная математика(лек)</v>
      </c>
      <c r="F20" s="41" t="str">
        <f>IF(E2="Нечетная", "          2202","")</f>
        <v xml:space="preserve">          2202</v>
      </c>
    </row>
    <row r="21" spans="1:6" x14ac:dyDescent="0.3">
      <c r="A21" s="60"/>
      <c r="B21" s="63"/>
      <c r="C21" s="42">
        <v>0.4861111111111111</v>
      </c>
      <c r="D21" s="42">
        <v>0.54861111111111105</v>
      </c>
      <c r="E21" s="41" t="s">
        <v>106</v>
      </c>
      <c r="F21" s="41">
        <v>466</v>
      </c>
    </row>
    <row r="22" spans="1:6" x14ac:dyDescent="0.3">
      <c r="A22" s="60"/>
      <c r="B22" s="63"/>
      <c r="C22" s="42">
        <v>0.5625</v>
      </c>
      <c r="D22" s="42">
        <v>0.625</v>
      </c>
      <c r="E22" s="41"/>
      <c r="F22" s="41"/>
    </row>
    <row r="23" spans="1:6" x14ac:dyDescent="0.3">
      <c r="A23" s="61"/>
      <c r="B23" s="64"/>
      <c r="C23" s="44">
        <v>0.63888888888888895</v>
      </c>
      <c r="D23" s="44">
        <v>0.70138888888888884</v>
      </c>
      <c r="E23" s="41"/>
      <c r="F23" s="41"/>
    </row>
    <row r="25" spans="1:6" ht="28.8" x14ac:dyDescent="0.3">
      <c r="A25" s="46" t="s">
        <v>93</v>
      </c>
      <c r="B25" s="47" t="s">
        <v>94</v>
      </c>
      <c r="C25" s="47" t="s">
        <v>95</v>
      </c>
      <c r="D25" s="47" t="s">
        <v>96</v>
      </c>
      <c r="E25" s="46" t="s">
        <v>97</v>
      </c>
      <c r="F25" s="47" t="s">
        <v>98</v>
      </c>
    </row>
    <row r="26" spans="1:6" ht="14.4" customHeight="1" x14ac:dyDescent="0.3">
      <c r="A26" s="59">
        <f>A19+1</f>
        <v>43713</v>
      </c>
      <c r="B26" s="62" t="s">
        <v>104</v>
      </c>
      <c r="C26" s="42">
        <v>0.34722222222222227</v>
      </c>
      <c r="D26" s="42">
        <v>0.40972222222222227</v>
      </c>
      <c r="E26" s="41" t="s">
        <v>108</v>
      </c>
      <c r="F26" s="41">
        <v>466</v>
      </c>
    </row>
    <row r="27" spans="1:6" x14ac:dyDescent="0.3">
      <c r="A27" s="60"/>
      <c r="B27" s="63"/>
      <c r="C27" s="42">
        <v>0.41666666666666669</v>
      </c>
      <c r="D27" s="42">
        <v>0.47916666666666669</v>
      </c>
      <c r="E27" s="41" t="str">
        <f>IF(E2="Нечетная", "Информатика (лек)","Программирование(лек)")</f>
        <v>Информатика (лек)</v>
      </c>
      <c r="F27" s="41" t="s">
        <v>110</v>
      </c>
    </row>
    <row r="28" spans="1:6" x14ac:dyDescent="0.3">
      <c r="A28" s="60"/>
      <c r="B28" s="63"/>
      <c r="C28" s="42">
        <v>0.4861111111111111</v>
      </c>
      <c r="D28" s="42">
        <v>0.54861111111111105</v>
      </c>
      <c r="E28" s="41" t="str">
        <f>IF(E2="Нечетная", "","ОПД(лек)")</f>
        <v/>
      </c>
      <c r="F28" s="41" t="str">
        <f>IF(E2="Нечетная", "","    Акт.зал")</f>
        <v/>
      </c>
    </row>
    <row r="29" spans="1:6" x14ac:dyDescent="0.3">
      <c r="A29" s="60"/>
      <c r="B29" s="63"/>
      <c r="C29" s="42">
        <v>0.5625</v>
      </c>
      <c r="D29" s="42">
        <v>0.625</v>
      </c>
      <c r="E29" s="41"/>
      <c r="F29" s="41"/>
    </row>
    <row r="30" spans="1:6" x14ac:dyDescent="0.3">
      <c r="A30" s="61"/>
      <c r="B30" s="64"/>
      <c r="C30" s="44">
        <v>0.63888888888888895</v>
      </c>
      <c r="D30" s="44">
        <v>0.70138888888888884</v>
      </c>
      <c r="E30" s="41"/>
      <c r="F30" s="41"/>
    </row>
    <row r="32" spans="1:6" ht="28.8" x14ac:dyDescent="0.3">
      <c r="A32" s="46" t="s">
        <v>93</v>
      </c>
      <c r="B32" s="47" t="s">
        <v>94</v>
      </c>
      <c r="C32" s="47" t="s">
        <v>95</v>
      </c>
      <c r="D32" s="47" t="s">
        <v>96</v>
      </c>
      <c r="E32" s="46" t="s">
        <v>97</v>
      </c>
      <c r="F32" s="47" t="s">
        <v>98</v>
      </c>
    </row>
    <row r="33" spans="1:6" x14ac:dyDescent="0.3">
      <c r="A33" s="59">
        <f>A26+1</f>
        <v>43714</v>
      </c>
      <c r="B33" s="62" t="s">
        <v>105</v>
      </c>
      <c r="C33" s="42">
        <v>0.34722222222222227</v>
      </c>
      <c r="D33" s="42">
        <v>0.40972222222222227</v>
      </c>
      <c r="E33" s="41"/>
      <c r="F33" s="41"/>
    </row>
    <row r="34" spans="1:6" x14ac:dyDescent="0.3">
      <c r="A34" s="60"/>
      <c r="B34" s="63"/>
      <c r="C34" s="42">
        <v>0.41666666666666669</v>
      </c>
      <c r="D34" s="42">
        <v>0.47916666666666669</v>
      </c>
      <c r="E34" s="41" t="str">
        <f>IF(E2="Нечетная", "История (лек)","Дискретная математика(лек)")</f>
        <v>История (лек)</v>
      </c>
      <c r="F34" s="41" t="str">
        <f>IF(E2="Нечетная", "  Акт. зал","403")</f>
        <v xml:space="preserve">  Акт. зал</v>
      </c>
    </row>
    <row r="35" spans="1:6" x14ac:dyDescent="0.3">
      <c r="A35" s="60"/>
      <c r="B35" s="63"/>
      <c r="C35" s="42">
        <v>0.4861111111111111</v>
      </c>
      <c r="D35" s="42">
        <v>0.54861111111111105</v>
      </c>
      <c r="E35" s="41" t="str">
        <f>IF(E2="Нечетная", "История (прак)","Дискретная математика(лек)")</f>
        <v>История (прак)</v>
      </c>
      <c r="F35" s="41" t="str">
        <f>IF(E2="Нечетная", "           418","403")</f>
        <v xml:space="preserve">           418</v>
      </c>
    </row>
    <row r="36" spans="1:6" x14ac:dyDescent="0.3">
      <c r="A36" s="60"/>
      <c r="B36" s="63"/>
      <c r="C36" s="42">
        <v>0.5625</v>
      </c>
      <c r="D36" s="42">
        <v>0.625</v>
      </c>
      <c r="E36" s="41"/>
      <c r="F36" s="41"/>
    </row>
    <row r="37" spans="1:6" x14ac:dyDescent="0.3">
      <c r="A37" s="61"/>
      <c r="B37" s="64"/>
      <c r="C37" s="44">
        <v>0.63888888888888895</v>
      </c>
      <c r="D37" s="44">
        <v>0.70138888888888884</v>
      </c>
      <c r="E37" s="49"/>
      <c r="F37" s="41"/>
    </row>
  </sheetData>
  <mergeCells count="12">
    <mergeCell ref="A19:A23"/>
    <mergeCell ref="B19:B23"/>
    <mergeCell ref="A26:A30"/>
    <mergeCell ref="B26:B30"/>
    <mergeCell ref="A33:A37"/>
    <mergeCell ref="B33:B37"/>
    <mergeCell ref="A11:A16"/>
    <mergeCell ref="B11:B16"/>
    <mergeCell ref="B1:C1"/>
    <mergeCell ref="B2:C2"/>
    <mergeCell ref="A4:A8"/>
    <mergeCell ref="B4:B8"/>
  </mergeCells>
  <pageMargins left="0.7" right="0.7" top="0.75" bottom="0.75" header="0.3" footer="0.3"/>
  <pageSetup paperSize="9" orientation="portrait" r:id="rId1"/>
  <ignoredErrors>
    <ignoredError sqref="E6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reateNewList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10</xdr:col>
                    <xdr:colOff>601980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Формула</vt:lpstr>
      <vt:lpstr>Отчёт</vt:lpstr>
      <vt:lpstr>Радиодетали</vt:lpstr>
      <vt:lpstr>Чемппионат</vt:lpstr>
      <vt:lpstr>Учебная неделя №1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Lord Kelvin</dc:creator>
  <cp:lastModifiedBy>Lord Kelvin</cp:lastModifiedBy>
  <dcterms:created xsi:type="dcterms:W3CDTF">2020-11-27T13:55:22Z</dcterms:created>
  <dcterms:modified xsi:type="dcterms:W3CDTF">2020-11-30T09:36:23Z</dcterms:modified>
</cp:coreProperties>
</file>